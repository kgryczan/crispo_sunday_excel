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22CECDF8-7413-4E01-9D19-2F638D0F2103}" xr6:coauthVersionLast="47" xr6:coauthVersionMax="47" xr10:uidLastSave="{00000000-0000-0000-0000-000000000000}"/>
  <bookViews>
    <workbookView xWindow="-120" yWindow="-120" windowWidth="20730" windowHeight="11040" firstSheet="1" activeTab="1" xr2:uid="{01C07523-956D-49DD-B8E7-BDEF3D02612B}"/>
  </bookViews>
  <sheets>
    <sheet name="Sheet1" sheetId="7" r:id="rId1"/>
    <sheet name="Sheet3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 a="1"/>
  <c r="G3" i="7" s="1"/>
  <c r="F3" i="7" a="1"/>
  <c r="F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<sst xmlns="http://schemas.openxmlformats.org/spreadsheetml/2006/main" count="108" uniqueCount="78">
  <si>
    <t>Invoice</t>
  </si>
  <si>
    <t>Status</t>
  </si>
  <si>
    <t>Complete &amp; OK</t>
  </si>
  <si>
    <t>Inv01</t>
  </si>
  <si>
    <t xml:space="preserve"> COMPLETED_OK </t>
  </si>
  <si>
    <t>Inv02</t>
  </si>
  <si>
    <t>DRAFT COMPLETE CLOSED _OK</t>
  </si>
  <si>
    <t>Inv03</t>
  </si>
  <si>
    <t xml:space="preserve"> ON_HOLD_RISK </t>
  </si>
  <si>
    <t>Inv04</t>
  </si>
  <si>
    <t xml:space="preserve"> ACTIVE ; 1ST CHECK OK</t>
  </si>
  <si>
    <t>Inv05</t>
  </si>
  <si>
    <t>INCOMPLETE</t>
  </si>
  <si>
    <t>Inv06</t>
  </si>
  <si>
    <t>NOT-OK; INCOMPLETE</t>
  </si>
  <si>
    <t>Inv07</t>
  </si>
  <si>
    <t>DRAFT COMPLETE</t>
  </si>
  <si>
    <t>Inv08</t>
  </si>
  <si>
    <t>OK; CHECKED, COMPLETED</t>
  </si>
  <si>
    <t>Inv09</t>
  </si>
  <si>
    <t>DRAFT OK</t>
  </si>
  <si>
    <t>Inv10</t>
  </si>
  <si>
    <t>COMPLETED_ON_HOLD</t>
  </si>
  <si>
    <t>Inv11</t>
  </si>
  <si>
    <t>COMPLETE_OK</t>
  </si>
  <si>
    <t>Easy Sunday Excel Challenge</t>
  </si>
  <si>
    <t>To Support the Challenges</t>
  </si>
  <si>
    <t>⭐Count Complete and OK Invoices</t>
  </si>
  <si>
    <t>Buy the Book</t>
  </si>
  <si>
    <t>⭐Status is entered Manually</t>
  </si>
  <si>
    <t>⭐Solution MUST be dynamic</t>
  </si>
  <si>
    <t>PROBLEM</t>
  </si>
  <si>
    <t>1</t>
  </si>
  <si>
    <t xml:space="preserve"> 2</t>
  </si>
  <si>
    <t xml:space="preserve"> 3</t>
  </si>
  <si>
    <t xml:space="preserve"> 4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</si>
  <si>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</si>
  <si>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</si>
  <si>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</si>
  <si>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</si>
  <si>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</si>
  <si>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</si>
  <si>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</si>
  <si>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</si>
  <si>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</si>
  <si>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</si>
  <si>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 xml:space="preserve">CrispExcel </t>
  </si>
  <si>
    <t>Training and</t>
  </si>
  <si>
    <t>SOLUTION</t>
  </si>
  <si>
    <t xml:space="preserve"> Consulting</t>
  </si>
  <si>
    <t>Date</t>
  </si>
  <si>
    <t>Code No.</t>
  </si>
  <si>
    <t>Customer</t>
  </si>
  <si>
    <t>Course</t>
  </si>
  <si>
    <t>Trainer</t>
  </si>
  <si>
    <t>Hours</t>
  </si>
  <si>
    <t>Sessions</t>
  </si>
  <si>
    <t>Cost</t>
  </si>
  <si>
    <t>from 03/2025</t>
  </si>
  <si>
    <t>ZXCV0123</t>
  </si>
  <si>
    <t>Aditya</t>
  </si>
  <si>
    <t>Excel</t>
  </si>
  <si>
    <t>Aiden</t>
  </si>
  <si>
    <t xml:space="preserve"> to 12/2025</t>
  </si>
  <si>
    <t>ZXCV0124</t>
  </si>
  <si>
    <t>Pieter</t>
  </si>
  <si>
    <t>PQ</t>
  </si>
  <si>
    <t>Adrian</t>
  </si>
  <si>
    <t>ZXCV0125</t>
  </si>
  <si>
    <t>Konrad</t>
  </si>
  <si>
    <t>Python</t>
  </si>
  <si>
    <t>Amani</t>
  </si>
  <si>
    <t>ZXCV0126</t>
  </si>
  <si>
    <t>Rick</t>
  </si>
  <si>
    <t>Access</t>
  </si>
  <si>
    <t>Ellen</t>
  </si>
  <si>
    <t xml:space="preserve">January </t>
  </si>
  <si>
    <t>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</si>
</sst>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6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2" xfId="0" applyFont="1" applyFill="1" applyBorder="1"/>
    <xf numFmtId="0" fontId="5" fillId="2" borderId="3" xfId="0" applyFont="1" applyFill="1" applyBorder="1"/>
    <xf numFmtId="0" fontId="0" fillId="0" borderId="4" xfId="0" applyBorder="1"/>
    <xf numFmtId="0" fontId="0" fillId="0" borderId="5" xfId="0" applyBorder="1"/>
    <xf numFmtId="0" fontId="5" fillId="2" borderId="1" xfId="0" applyFont="1" applyFill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1" applyFont="1" applyAlignment="1">
      <alignment horizontal="right"/>
    </xf>
    <xf numFmtId="0" fontId="0" fillId="0" borderId="7" xfId="0" applyBorder="1"/>
    <xf numFmtId="0" fontId="0" fillId="0" borderId="3" xfId="0" applyBorder="1"/>
    <xf numFmtId="0" fontId="0" fillId="0" borderId="2" xfId="0" applyBorder="1"/>
    <xf numFmtId="0" fontId="0" fillId="0" borderId="8" xfId="0" applyBorder="1"/>
    <xf numFmtId="0" fontId="0" fillId="0" borderId="1" xfId="0" applyBorder="1"/>
    <xf numFmtId="14" fontId="0" fillId="0" borderId="4" xfId="0" applyNumberFormat="1" applyBorder="1"/>
    <xf numFmtId="164" fontId="0" fillId="0" borderId="5" xfId="2" applyNumberFormat="1" applyFont="1" applyBorder="1"/>
    <xf numFmtId="14" fontId="0" fillId="0" borderId="6" xfId="0" applyNumberFormat="1" applyBorder="1"/>
    <xf numFmtId="0" fontId="0" fillId="0" borderId="9" xfId="0" applyBorder="1"/>
    <xf numFmtId="164" fontId="0" fillId="0" borderId="7" xfId="2" applyNumberFormat="1" applyFont="1" applyBorder="1"/>
    <xf numFmtId="0" fontId="9" fillId="0" borderId="0" xfId="0" applyFont="1"/>
    <xf numFmtId="0" fontId="10" fillId="0" borderId="0" xfId="0" applyFont="1"/>
  </cellXfs>
  <cellStyles count="3">
    <cellStyle name="Dziesiętny" xfId="2" builtinId="3"/>
    <cellStyle name="Hiperłącze" xfId="1" builtinId="8"/>
    <cellStyle name="Normalny" xfId="0" builtinId="0"/>
  </cellStyles>
  <dxfs count="3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* #,##0_);_(* \(#,##0\);_(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266700</xdr:colOff>
      <xdr:row>22</xdr:row>
      <xdr:rowOff>66675</xdr:rowOff>
    </xdr:from>
    <xdr:ext cx="1314450" cy="1593052"/>
    <xdr:pic>
      <xdr:nvPicPr>
        <xdr:cNvPr id="2" name="Picture 1">
          <a:extLst>
            <a:ext uri="{FF2B5EF4-FFF2-40B4-BE49-F238E27FC236}">
              <a16:creationId xmlns:a16="http://schemas.microsoft.com/office/drawing/2014/main" id="{D6F8F6E7-695B-4B5F-811D-B8DFD1DA7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675" y="4257675"/>
          <a:ext cx="1314450" cy="1593052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19</xdr:row>
      <xdr:rowOff>142875</xdr:rowOff>
    </xdr:from>
    <xdr:to>
      <xdr:col>5</xdr:col>
      <xdr:colOff>427310</xdr:colOff>
      <xdr:row>23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7BA90-D392-4E7D-87A6-55413A62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62375"/>
          <a:ext cx="4418285" cy="78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123825</xdr:colOff>
      <xdr:row>0</xdr:row>
      <xdr:rowOff>0</xdr:rowOff>
    </xdr:from>
    <xdr:to>
      <xdr:col>24</xdr:col>
      <xdr:colOff>65360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4E6EF-CAA6-4CF2-9015-54FB587A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0"/>
          <a:ext cx="4418285" cy="781050"/>
        </a:xfrm>
        <a:prstGeom prst="rect">
          <a:avLst/>
        </a:prstGeom>
      </xdr:spPr>
    </xdr:pic>
    <xdr:clientData/>
  </xdr:twoCellAnchor>
  <xdr:twoCellAnchor editAs="oneCell">
    <xdr:from>
      <xdr:col>20</xdr:col>
      <xdr:colOff>200025</xdr:colOff>
      <xdr:row>12</xdr:row>
      <xdr:rowOff>85725</xdr:rowOff>
    </xdr:from>
    <xdr:to>
      <xdr:col>23</xdr:col>
      <xdr:colOff>50025</xdr:colOff>
      <xdr:row>20</xdr:row>
      <xdr:rowOff>82815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D264D0-7C82-A74B-7196-ACD3BCF86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2371725"/>
          <a:ext cx="1316850" cy="159729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3B97C-6A3F-4D24-82F3-8D695CCC0EDA}" name="Table2" displayName="Table2" ref="B2:C13" totalsRowShown="0" headerRowDxfId="35" headerRowBorderDxfId="33" tableBorderDxfId="34" totalsRowBorderDxfId="32">
  <autoFilter ref="B2:C13" xr:uid="{1A63B97C-6A3F-4D24-82F3-8D695CCC0EDA}">
    <filterColumn colId="0" hiddenButton="1"/>
    <filterColumn colId="1" hiddenButton="1"/>
  </autoFilter>
  <tableColumns count="2">
    <tableColumn id="1" xr3:uid="{043A50EB-FB49-4C70-A30F-946A70B60A9A}" name="Invoice" dataDxfId="31"/>
    <tableColumn id="2" xr3:uid="{C5942218-811F-47A7-B853-C7C6D5F41F22}" name="Status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0480C-7B15-4931-990E-4A7C29B4064D}" name="Table1" displayName="Table1" ref="B3:O24" totalsRowShown="0" headerRowDxfId="29" headerRowBorderDxfId="27" tableBorderDxfId="28" totalsRowBorderDxfId="26">
  <autoFilter ref="B3:O24" xr:uid="{9300480C-7B15-4931-990E-4A7C29B406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9E93B6A-3B2E-4837-AE6E-A2076E550147}" name="1" dataDxfId="25"/>
    <tableColumn id="2" xr3:uid="{3B3D8DD1-7F32-433C-9ED6-1F3ECF57B70A}" name=" 2" dataDxfId="24"/>
    <tableColumn id="3" xr3:uid="{1AEE14E6-43B8-4F46-98EA-FEFA0C861F35}" name=" 3" dataDxfId="23"/>
    <tableColumn id="4" xr3:uid="{55EE910B-EBC5-49FE-BCCC-6AE5FDF58598}" name=" 4" dataDxfId="22"/>
    <tableColumn id="5" xr3:uid="{EDF12648-13A7-4916-8998-635816090F1F}" name="4" dataDxfId="21"/>
    <tableColumn id="6" xr3:uid="{AD98937D-FE9A-47A6-AE24-789D6D9303DF}" name="5" dataDxfId="20"/>
    <tableColumn id="7" xr3:uid="{CA02F1CE-0D38-4498-8B6D-D58BEC13D033}" name="6" dataDxfId="19"/>
    <tableColumn id="8" xr3:uid="{409536EC-758C-4052-B7F7-D1C57D848BC0}" name="7" dataDxfId="18"/>
    <tableColumn id="9" xr3:uid="{EEA0BD8A-B86C-4110-BF43-2CD72FE96814}" name="8" dataDxfId="17"/>
    <tableColumn id="10" xr3:uid="{45F11310-9766-4A49-A478-9C0375425347}" name="9" dataDxfId="16"/>
    <tableColumn id="11" xr3:uid="{0FE03899-6F88-4B92-8D58-D8C254D87B39}" name="10" dataDxfId="15"/>
    <tableColumn id="12" xr3:uid="{F6AE27A4-B888-4BE5-9BD3-13D0595B9D46}" name="11" dataDxfId="14"/>
    <tableColumn id="13" xr3:uid="{475DA21D-EE15-4EB3-989F-C21C525A2737}" name="12" dataDxfId="13"/>
    <tableColumn id="14" xr3:uid="{E6C96C1C-529B-4E84-9C30-016A4D21D429}" name="13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BB8BBF-7B3F-45C4-9322-A959BC277D4D}" name="Table3" displayName="Table3" ref="Q8:X12" totalsRowShown="0" headerRowDxfId="11" headerRowBorderDxfId="9" tableBorderDxfId="10" totalsRowBorderDxfId="8">
  <autoFilter ref="Q8:X12" xr:uid="{14BB8BBF-7B3F-45C4-9322-A959BC277D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6987C9-C35D-4279-B19A-D34691FE722B}" name="Date" dataDxfId="7"/>
    <tableColumn id="2" xr3:uid="{17C70D03-A012-4E37-899A-D3D8B0AE9E25}" name="Code No." dataDxfId="6"/>
    <tableColumn id="3" xr3:uid="{124D9E05-C576-4B61-A0FE-88070921B3FE}" name="Customer" dataDxfId="5"/>
    <tableColumn id="4" xr3:uid="{E572CB73-63A9-4BE1-8362-993CD017B979}" name="Course" dataDxfId="4"/>
    <tableColumn id="5" xr3:uid="{BF7EEF13-7C33-494F-8FCB-0B60A72ED175}" name="Trainer" dataDxfId="3"/>
    <tableColumn id="6" xr3:uid="{F079EF19-3C0C-4A6E-A168-17E092502565}" name="Hours" dataDxfId="2"/>
    <tableColumn id="7" xr3:uid="{E4EE68A7-55C4-4E13-8FBC-41A91C957C15}" name="Sessions" dataDxfId="1"/>
    <tableColumn id="8" xr3:uid="{CC5DCC05-AC28-447B-A62D-0A9B648BF714}" name="Cos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20BC-E74F-453E-A250-1E3A84AD4840}">
  <dimension ref="B2:L28"/>
  <sheetViews>
    <sheetView showGridLines="0" topLeftCell="A7" workbookViewId="0">
      <selection activeCell="J25" sqref="J25:L26"/>
    </sheetView>
  </sheetViews>
  <sheetFormatPr defaultRowHeight="15"/>
  <cols>
    <col min="1" max="1" width="2.7109375" customWidth="1"/>
    <col min="2" max="2" width="7.5703125" bestFit="1" customWidth="1"/>
    <col min="3" max="3" width="32.5703125" bestFit="1" customWidth="1"/>
    <col min="4" max="4" width="2.28515625" customWidth="1"/>
    <col min="5" max="6" width="14.7109375" bestFit="1" customWidth="1"/>
    <col min="8" max="8" width="4.140625" customWidth="1"/>
  </cols>
  <sheetData>
    <row r="2" spans="2:11">
      <c r="B2" s="3" t="s">
        <v>0</v>
      </c>
      <c r="C2" s="4" t="s">
        <v>1</v>
      </c>
      <c r="E2" s="7" t="s">
        <v>2</v>
      </c>
    </row>
    <row r="3" spans="2:11">
      <c r="B3" s="8" t="s">
        <v>3</v>
      </c>
      <c r="C3" s="9" t="s">
        <v>4</v>
      </c>
      <c r="E3" s="12">
        <v>3</v>
      </c>
      <c r="F3" t="str" cm="1">
        <f t="array" ref="F3:F4">_xlfn.LET(_xlpm.d,B3:C13,_xlpm.s,C3:C13, _xlpm.logic_complete, --_xlfn.REGEXTEST(_xlpm.s,"(?&lt;![in])complete",1), _xlpm.logic_ok, --_xlfn.REGEXTEST(_xlpm.s,"(?&lt;![_-]?NOT[ -]?)OK",1),
_xlfn.VSTACK("Complete &amp; OK",ROWS(_xlfn._xlws.FILTER(_xlpm.d, _xlpm.logic_complete * _xlpm.logic_ok))))</f>
        <v>Complete &amp; OK</v>
      </c>
      <c r="G3" cm="1">
        <f t="array" ref="G3">SUM(--_xlfn.REGEXTEST(C3:C13&amp;C3:C13,"\bCOMPLETE.*OK"))</f>
        <v>4</v>
      </c>
    </row>
    <row r="4" spans="2:11">
      <c r="B4" s="5" t="s">
        <v>5</v>
      </c>
      <c r="C4" s="6" t="s">
        <v>6</v>
      </c>
      <c r="F4">
        <v>4</v>
      </c>
    </row>
    <row r="5" spans="2:11">
      <c r="B5" s="5" t="s">
        <v>7</v>
      </c>
      <c r="C5" s="6" t="s">
        <v>8</v>
      </c>
    </row>
    <row r="6" spans="2:11">
      <c r="B6" s="5" t="s">
        <v>9</v>
      </c>
      <c r="C6" s="6" t="s">
        <v>10</v>
      </c>
    </row>
    <row r="7" spans="2:11">
      <c r="B7" s="5" t="s">
        <v>11</v>
      </c>
      <c r="C7" s="6" t="s">
        <v>12</v>
      </c>
    </row>
    <row r="8" spans="2:11">
      <c r="B8" s="5" t="s">
        <v>13</v>
      </c>
      <c r="C8" s="6" t="s">
        <v>14</v>
      </c>
    </row>
    <row r="9" spans="2:11">
      <c r="B9" s="5" t="s">
        <v>15</v>
      </c>
      <c r="C9" s="6" t="s">
        <v>16</v>
      </c>
      <c r="K9" s="13"/>
    </row>
    <row r="10" spans="2:11">
      <c r="B10" s="8" t="s">
        <v>17</v>
      </c>
      <c r="C10" s="9" t="s">
        <v>18</v>
      </c>
      <c r="K10" s="13"/>
    </row>
    <row r="11" spans="2:11">
      <c r="B11" s="5" t="s">
        <v>19</v>
      </c>
      <c r="C11" s="6" t="s">
        <v>20</v>
      </c>
    </row>
    <row r="12" spans="2:11">
      <c r="B12" s="5" t="s">
        <v>21</v>
      </c>
      <c r="C12" s="6" t="s">
        <v>22</v>
      </c>
    </row>
    <row r="13" spans="2:11">
      <c r="B13" s="10" t="s">
        <v>23</v>
      </c>
      <c r="C13" s="11" t="s">
        <v>24</v>
      </c>
    </row>
    <row r="25" spans="3:12" ht="18.75">
      <c r="C25" s="1" t="s">
        <v>25</v>
      </c>
      <c r="K25" s="13"/>
      <c r="L25" s="14" t="s">
        <v>26</v>
      </c>
    </row>
    <row r="26" spans="3:12" ht="15.75">
      <c r="C26" s="2" t="s">
        <v>27</v>
      </c>
      <c r="K26" s="13"/>
      <c r="L26" s="14" t="s">
        <v>28</v>
      </c>
    </row>
    <row r="27" spans="3:12" ht="15.75">
      <c r="C27" s="2" t="s">
        <v>29</v>
      </c>
    </row>
    <row r="28" spans="3:12" ht="15.75">
      <c r="C28" s="2" t="s">
        <v>30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B7C1-7C13-43A1-B7CD-C2978E3659C0}">
  <dimension ref="B2:X24"/>
  <sheetViews>
    <sheetView showGridLines="0" tabSelected="1" workbookViewId="0">
      <selection activeCell="U6" sqref="U6"/>
    </sheetView>
  </sheetViews>
  <sheetFormatPr defaultRowHeight="15"/>
  <cols>
    <col min="1" max="1" width="2.42578125" customWidth="1"/>
    <col min="2" max="2" width="13.28515625" bestFit="1" customWidth="1"/>
    <col min="3" max="3" width="10" bestFit="1" customWidth="1"/>
    <col min="4" max="4" width="9.5703125" bestFit="1" customWidth="1"/>
    <col min="5" max="5" width="7.28515625" bestFit="1" customWidth="1"/>
    <col min="6" max="6" width="7.140625" bestFit="1" customWidth="1"/>
    <col min="7" max="8" width="4.5703125" bestFit="1" customWidth="1"/>
    <col min="9" max="9" width="7.42578125" bestFit="1" customWidth="1"/>
    <col min="10" max="11" width="4.5703125" bestFit="1" customWidth="1"/>
    <col min="12" max="12" width="6.28515625" bestFit="1" customWidth="1"/>
    <col min="13" max="13" width="8.42578125" bestFit="1" customWidth="1"/>
    <col min="14" max="14" width="5.5703125" bestFit="1" customWidth="1"/>
    <col min="15" max="15" width="7" bestFit="1" customWidth="1"/>
    <col min="16" max="16" width="4" customWidth="1"/>
    <col min="17" max="17" width="9.7109375" bestFit="1" customWidth="1"/>
    <col min="18" max="19" width="9.5703125" bestFit="1" customWidth="1"/>
    <col min="20" max="21" width="7.28515625" bestFit="1" customWidth="1"/>
    <col min="22" max="22" width="6.140625" bestFit="1" customWidth="1"/>
    <col min="23" max="23" width="8.5703125" bestFit="1" customWidth="1"/>
    <col min="24" max="24" width="5" bestFit="1" customWidth="1"/>
  </cols>
  <sheetData>
    <row r="2" spans="2:24">
      <c r="B2" s="25" t="s">
        <v>31</v>
      </c>
    </row>
    <row r="3" spans="2:24">
      <c r="B3" s="17" t="s">
        <v>32</v>
      </c>
      <c r="C3" s="18" t="s">
        <v>33</v>
      </c>
      <c r="D3" s="18" t="s">
        <v>34</v>
      </c>
      <c r="E3" s="18" t="s">
        <v>35</v>
      </c>
      <c r="F3" s="18" t="s">
        <v>36</v>
      </c>
      <c r="G3" s="18" t="s">
        <v>37</v>
      </c>
      <c r="H3" s="18" t="s">
        <v>38</v>
      </c>
      <c r="I3" s="18" t="s">
        <v>39</v>
      </c>
      <c r="J3" s="18" t="s">
        <v>40</v>
      </c>
      <c r="K3" s="18" t="s">
        <v>41</v>
      </c>
      <c r="L3" s="18" t="s">
        <v>42</v>
      </c>
      <c r="M3" s="18" t="s">
        <v>43</v>
      </c>
      <c r="N3" s="18" t="s">
        <v>44</v>
      </c>
      <c r="O3" s="16" t="s">
        <v>45</v>
      </c>
    </row>
    <row r="4" spans="2:24">
      <c r="B4" s="5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6"/>
    </row>
    <row r="5" spans="2:24">
      <c r="B5" s="5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6"/>
    </row>
    <row r="6" spans="2:24">
      <c r="B6" s="5" t="s">
        <v>46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6"/>
    </row>
    <row r="7" spans="2:24">
      <c r="B7" s="5" t="s">
        <v>47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6"/>
      <c r="Q7" s="26" t="s">
        <v>48</v>
      </c>
    </row>
    <row r="8" spans="2:24">
      <c r="B8" s="5" t="s">
        <v>49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6"/>
      <c r="Q8" s="17" t="s">
        <v>50</v>
      </c>
      <c r="R8" s="18" t="s">
        <v>51</v>
      </c>
      <c r="S8" s="18" t="s">
        <v>52</v>
      </c>
      <c r="T8" s="18" t="s">
        <v>53</v>
      </c>
      <c r="U8" s="18" t="s">
        <v>54</v>
      </c>
      <c r="V8" s="18" t="s">
        <v>55</v>
      </c>
      <c r="W8" s="18" t="s">
        <v>56</v>
      </c>
      <c r="X8" s="16" t="s">
        <v>57</v>
      </c>
    </row>
    <row r="9" spans="2:24">
      <c r="B9" s="5" t="s">
        <v>58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6"/>
      <c r="Q9" s="20">
        <v>44197</v>
      </c>
      <c r="R9" s="19" t="s">
        <v>59</v>
      </c>
      <c r="S9" s="19" t="s">
        <v>60</v>
      </c>
      <c r="T9" s="19" t="s">
        <v>61</v>
      </c>
      <c r="U9" s="19" t="s">
        <v>62</v>
      </c>
      <c r="V9" s="19">
        <v>10</v>
      </c>
      <c r="W9" s="19">
        <v>2</v>
      </c>
      <c r="X9" s="6">
        <v>1000</v>
      </c>
    </row>
    <row r="10" spans="2:24">
      <c r="B10" s="5" t="s">
        <v>63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6"/>
      <c r="Q10" s="20">
        <v>44207</v>
      </c>
      <c r="R10" s="19" t="s">
        <v>64</v>
      </c>
      <c r="S10" s="19" t="s">
        <v>65</v>
      </c>
      <c r="T10" s="19" t="s">
        <v>66</v>
      </c>
      <c r="U10" s="19" t="s">
        <v>67</v>
      </c>
      <c r="V10" s="19">
        <v>10</v>
      </c>
      <c r="W10" s="19">
        <v>3</v>
      </c>
      <c r="X10" s="6">
        <v>2000</v>
      </c>
    </row>
    <row r="11" spans="2:24">
      <c r="B11" s="5" t="s">
        <v>50</v>
      </c>
      <c r="C11" s="19" t="s">
        <v>51</v>
      </c>
      <c r="D11" s="19" t="s">
        <v>52</v>
      </c>
      <c r="E11" s="19"/>
      <c r="F11" s="19" t="s">
        <v>53</v>
      </c>
      <c r="G11" s="19"/>
      <c r="H11" s="19"/>
      <c r="I11" s="19" t="s">
        <v>54</v>
      </c>
      <c r="J11" s="19"/>
      <c r="K11" s="19"/>
      <c r="L11" s="19" t="s">
        <v>55</v>
      </c>
      <c r="M11" s="19" t="s">
        <v>56</v>
      </c>
      <c r="N11" s="19"/>
      <c r="O11" s="6" t="s">
        <v>57</v>
      </c>
      <c r="Q11" s="20">
        <v>44217</v>
      </c>
      <c r="R11" s="19" t="s">
        <v>68</v>
      </c>
      <c r="S11" s="19" t="s">
        <v>69</v>
      </c>
      <c r="T11" s="19" t="s">
        <v>70</v>
      </c>
      <c r="U11" s="19" t="s">
        <v>71</v>
      </c>
      <c r="V11" s="19">
        <v>2</v>
      </c>
      <c r="W11" s="19">
        <v>2</v>
      </c>
      <c r="X11" s="6">
        <v>3000</v>
      </c>
    </row>
    <row r="12" spans="2:24">
      <c r="B12" s="5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6"/>
      <c r="Q12" s="22">
        <v>44207</v>
      </c>
      <c r="R12" s="23" t="s">
        <v>72</v>
      </c>
      <c r="S12" s="23" t="s">
        <v>73</v>
      </c>
      <c r="T12" s="23" t="s">
        <v>74</v>
      </c>
      <c r="U12" s="23" t="s">
        <v>75</v>
      </c>
      <c r="V12" s="23">
        <v>8</v>
      </c>
      <c r="W12" s="23">
        <v>1</v>
      </c>
      <c r="X12" s="15">
        <v>4000</v>
      </c>
    </row>
    <row r="13" spans="2:24">
      <c r="B13" s="5" t="s">
        <v>76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6"/>
    </row>
    <row r="14" spans="2:24" ht="18.75">
      <c r="B14" s="5" t="s">
        <v>77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6"/>
      <c r="Q14" s="1" t="s">
        <v>25</v>
      </c>
    </row>
    <row r="15" spans="2:24" ht="15.75">
      <c r="B15" s="5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6"/>
      <c r="Q15" s="2" t="s">
        <v>27</v>
      </c>
    </row>
    <row r="16" spans="2:24" ht="15.75">
      <c r="B16" s="20">
        <v>44197</v>
      </c>
      <c r="C16" s="19" t="s">
        <v>59</v>
      </c>
      <c r="D16" s="19" t="s">
        <v>60</v>
      </c>
      <c r="E16" s="19"/>
      <c r="F16" s="19"/>
      <c r="G16" s="19"/>
      <c r="H16" s="19"/>
      <c r="I16" s="19" t="s">
        <v>62</v>
      </c>
      <c r="J16" s="19"/>
      <c r="K16" s="19"/>
      <c r="L16" s="19"/>
      <c r="M16" s="19"/>
      <c r="N16" s="19">
        <v>2</v>
      </c>
      <c r="O16" s="21">
        <v>1000</v>
      </c>
      <c r="Q16" s="2" t="s">
        <v>29</v>
      </c>
    </row>
    <row r="17" spans="2:20" ht="15.75">
      <c r="B17" s="20"/>
      <c r="C17" s="19"/>
      <c r="D17" s="19"/>
      <c r="E17" s="19" t="s">
        <v>61</v>
      </c>
      <c r="F17" s="19"/>
      <c r="G17" s="19"/>
      <c r="H17" s="19"/>
      <c r="I17" s="19"/>
      <c r="J17" s="19"/>
      <c r="K17" s="19">
        <v>10</v>
      </c>
      <c r="L17" s="19"/>
      <c r="M17" s="19"/>
      <c r="N17" s="19"/>
      <c r="O17" s="21"/>
      <c r="Q17" s="2" t="s">
        <v>30</v>
      </c>
    </row>
    <row r="18" spans="2:20">
      <c r="B18" s="20">
        <v>44207</v>
      </c>
      <c r="C18" s="19" t="s">
        <v>64</v>
      </c>
      <c r="D18" s="19" t="s">
        <v>65</v>
      </c>
      <c r="E18" s="19"/>
      <c r="F18" s="19"/>
      <c r="G18" s="19"/>
      <c r="H18" s="19"/>
      <c r="I18" s="19" t="s">
        <v>67</v>
      </c>
      <c r="J18" s="19"/>
      <c r="K18" s="19"/>
      <c r="L18" s="19"/>
      <c r="M18" s="19"/>
      <c r="N18" s="19">
        <v>3</v>
      </c>
      <c r="O18" s="21">
        <v>2000</v>
      </c>
    </row>
    <row r="19" spans="2:20">
      <c r="B19" s="20"/>
      <c r="C19" s="19"/>
      <c r="D19" s="19"/>
      <c r="E19" s="19" t="s">
        <v>66</v>
      </c>
      <c r="F19" s="19"/>
      <c r="G19" s="19"/>
      <c r="H19" s="19"/>
      <c r="I19" s="19"/>
      <c r="J19" s="19"/>
      <c r="K19" s="19">
        <v>10</v>
      </c>
      <c r="L19" s="19"/>
      <c r="M19" s="19"/>
      <c r="N19" s="19"/>
      <c r="O19" s="21"/>
      <c r="S19" s="13"/>
      <c r="T19" s="14" t="s">
        <v>26</v>
      </c>
    </row>
    <row r="20" spans="2:20">
      <c r="B20" s="20">
        <v>44217</v>
      </c>
      <c r="C20" s="19" t="s">
        <v>68</v>
      </c>
      <c r="D20" s="19" t="s">
        <v>69</v>
      </c>
      <c r="E20" s="19"/>
      <c r="F20" s="19"/>
      <c r="G20" s="19"/>
      <c r="H20" s="19"/>
      <c r="I20" s="19" t="s">
        <v>71</v>
      </c>
      <c r="J20" s="19"/>
      <c r="K20" s="19"/>
      <c r="L20" s="19"/>
      <c r="M20" s="19"/>
      <c r="N20" s="19">
        <v>2</v>
      </c>
      <c r="O20" s="21">
        <v>3000</v>
      </c>
      <c r="S20" s="13"/>
      <c r="T20" s="14" t="s">
        <v>28</v>
      </c>
    </row>
    <row r="21" spans="2:20">
      <c r="B21" s="20"/>
      <c r="C21" s="19"/>
      <c r="D21" s="19"/>
      <c r="E21" s="19" t="s">
        <v>70</v>
      </c>
      <c r="F21" s="19"/>
      <c r="G21" s="19"/>
      <c r="H21" s="19"/>
      <c r="I21" s="19"/>
      <c r="J21" s="19"/>
      <c r="K21" s="19">
        <v>2</v>
      </c>
      <c r="L21" s="19"/>
      <c r="M21" s="19"/>
      <c r="N21" s="19"/>
      <c r="O21" s="21"/>
    </row>
    <row r="22" spans="2:20">
      <c r="B22" s="20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1"/>
    </row>
    <row r="23" spans="2:20">
      <c r="B23" s="20">
        <v>44207</v>
      </c>
      <c r="C23" s="19" t="s">
        <v>72</v>
      </c>
      <c r="D23" s="19" t="s">
        <v>73</v>
      </c>
      <c r="E23" s="19"/>
      <c r="F23" s="19"/>
      <c r="G23" s="19"/>
      <c r="H23" s="19"/>
      <c r="I23" s="19" t="s">
        <v>75</v>
      </c>
      <c r="J23" s="19"/>
      <c r="K23" s="19"/>
      <c r="L23" s="19"/>
      <c r="M23" s="19"/>
      <c r="N23" s="19">
        <v>1</v>
      </c>
      <c r="O23" s="21">
        <v>4000</v>
      </c>
    </row>
    <row r="24" spans="2:20">
      <c r="B24" s="22"/>
      <c r="C24" s="23"/>
      <c r="D24" s="23"/>
      <c r="E24" s="23" t="s">
        <v>74</v>
      </c>
      <c r="F24" s="23"/>
      <c r="G24" s="23"/>
      <c r="H24" s="23"/>
      <c r="I24" s="23"/>
      <c r="J24" s="23"/>
      <c r="K24" s="23">
        <v>8</v>
      </c>
      <c r="L24" s="23"/>
      <c r="M24" s="23"/>
      <c r="N24" s="23"/>
      <c r="O24" s="24"/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2026-02-22T09:51:35Z</dcterms:modified>
  <cp:category/>
  <cp:contentStatus/>
</cp:coreProperties>
</file>