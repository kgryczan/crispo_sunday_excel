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ispomwangi-my.sharepoint.com/personal/crispo_crispexcel_com/Documents/"/>
    </mc:Choice>
  </mc:AlternateContent>
  <xr:revisionPtr revIDLastSave="0" documentId="8_{70DEC873-E755-45DF-B9A1-353523ADEDE1}" xr6:coauthVersionLast="47" xr6:coauthVersionMax="47" xr10:uidLastSave="{00000000-0000-0000-0000-000000000000}"/>
  <bookViews>
    <workbookView xWindow="-120" yWindow="-120" windowWidth="20730" windowHeight="11040" xr2:uid="{2B3CEDFB-10F3-4E51-B8AB-1AA276E59C4C}"/>
  </bookViews>
  <sheets>
    <sheet name="Sheet1" sheetId="1" r:id="rId1"/>
  </sheets>
  <definedNames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9" i="1"/>
  <c r="E8" i="1"/>
  <c r="E7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Crispo Mwangi</author>
  </authors>
  <commentList>
    <comment ref="E4" authorId="0" shapeId="0" xr:uid="{EB833A0E-6581-4C03-B6FE-84320EB1E370}">
      <text>
        <r>
          <rPr>
            <b/>
            <sz val="9"/>
            <color indexed="81"/>
            <rFont val="Tahoma"/>
            <charset val="1"/>
          </rPr>
          <t>Crispo Mwangi:</t>
        </r>
        <r>
          <rPr>
            <sz val="9"/>
            <color indexed="81"/>
            <rFont val="Tahoma"/>
            <charset val="1"/>
          </rPr>
          <t xml:space="preserve">
Salary falls between 
Year 4 and Year 3 in the Grd A7</t>
        </r>
      </text>
    </comment>
    <comment ref="E5" authorId="0" shapeId="0" xr:uid="{D50200F0-17C3-475D-ACE6-40AD8BAC461D}">
      <text>
        <r>
          <rPr>
            <b/>
            <sz val="9"/>
            <color indexed="81"/>
            <rFont val="Tahoma"/>
            <charset val="1"/>
          </rPr>
          <t>Crispo Mwangi:</t>
        </r>
        <r>
          <rPr>
            <sz val="9"/>
            <color indexed="81"/>
            <rFont val="Tahoma"/>
            <charset val="1"/>
          </rPr>
          <t xml:space="preserve">
Salary Exact Year 5 in the Grd A2</t>
        </r>
      </text>
    </comment>
    <comment ref="E6" authorId="0" shapeId="0" xr:uid="{7CDE8FC6-7A0E-4FCD-AB55-85017E9012D5}">
      <text>
        <r>
          <rPr>
            <b/>
            <sz val="9"/>
            <color indexed="81"/>
            <rFont val="Tahoma"/>
            <charset val="1"/>
          </rPr>
          <t>Crispo Mwangi:</t>
        </r>
        <r>
          <rPr>
            <sz val="9"/>
            <color indexed="81"/>
            <rFont val="Tahoma"/>
            <charset val="1"/>
          </rPr>
          <t xml:space="preserve">
No Previous Year Salary in Grd A10</t>
        </r>
      </text>
    </comment>
  </commentList>
</comments>
</file>

<file path=xl/sharedStrings.xml><?xml version="1.0" encoding="utf-8"?>
<sst xmlns="http://schemas.openxmlformats.org/spreadsheetml/2006/main" count="45" uniqueCount="38">
  <si>
    <t>Salary Scale Table</t>
  </si>
  <si>
    <t>Full Name</t>
  </si>
  <si>
    <t xml:space="preserve">Job Grade </t>
  </si>
  <si>
    <t>Salary</t>
  </si>
  <si>
    <t>Range Difference</t>
  </si>
  <si>
    <t>Grades</t>
  </si>
  <si>
    <t>Year 1</t>
  </si>
  <si>
    <t>Year 2</t>
  </si>
  <si>
    <t>Year 3</t>
  </si>
  <si>
    <t>Year 4</t>
  </si>
  <si>
    <t>Year 5</t>
  </si>
  <si>
    <t>Hunter Glantz</t>
  </si>
  <si>
    <t>Grd A7</t>
  </si>
  <si>
    <t>Grd A1</t>
  </si>
  <si>
    <t>Carl Ludwig</t>
  </si>
  <si>
    <t>Grd A2</t>
  </si>
  <si>
    <t>Charles M</t>
  </si>
  <si>
    <t>Grd A10</t>
  </si>
  <si>
    <t>Grd A3</t>
  </si>
  <si>
    <t>Beth Paige</t>
  </si>
  <si>
    <t>Grd A4</t>
  </si>
  <si>
    <t>Greg Guthrie</t>
  </si>
  <si>
    <t>Grd A11</t>
  </si>
  <si>
    <t>Grd A5</t>
  </si>
  <si>
    <t>Carlos Soltero</t>
  </si>
  <si>
    <t>Grd A6</t>
  </si>
  <si>
    <t>Michelle Lon</t>
  </si>
  <si>
    <t>Grd A14</t>
  </si>
  <si>
    <t>Grd A8</t>
  </si>
  <si>
    <t>Rules:</t>
  </si>
  <si>
    <t>Grd A9</t>
  </si>
  <si>
    <t>Check Salary within Scale Table</t>
  </si>
  <si>
    <t>If Exact within the table, (Salary-previous year Amount)</t>
  </si>
  <si>
    <t>If between 2 years, get the difference between the two years</t>
  </si>
  <si>
    <t>Grd A12</t>
  </si>
  <si>
    <t>If No Previous Year, Return Zero</t>
  </si>
  <si>
    <t>Grd A13</t>
  </si>
  <si>
    <t>⭐Strictly Legacy Array Functions or PowerQuery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</si>
</sst>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0"/>
      <name val="MS Sans Serif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MS Sans Serif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Continuous"/>
    </xf>
    <xf numFmtId="0" fontId="2" fillId="2" borderId="1" xfId="0" applyFont="1" applyFill="1" applyBorder="1"/>
    <xf numFmtId="164" fontId="5" fillId="0" borderId="2" xfId="1" applyNumberFormat="1" applyFont="1" applyBorder="1"/>
    <xf numFmtId="164" fontId="5" fillId="0" borderId="3" xfId="1" applyNumberFormat="1" applyFont="1" applyBorder="1"/>
    <xf numFmtId="0" fontId="5" fillId="0" borderId="1" xfId="0" applyFont="1" applyBorder="1"/>
    <xf numFmtId="164" fontId="1" fillId="0" borderId="1" xfId="1" applyNumberFormat="1" applyFont="1" applyBorder="1"/>
    <xf numFmtId="164" fontId="5" fillId="0" borderId="1" xfId="1" applyNumberFormat="1" applyFont="1" applyBorder="1"/>
    <xf numFmtId="0" fontId="5" fillId="0" borderId="1" xfId="1" applyNumberFormat="1" applyFont="1" applyBorder="1"/>
    <xf numFmtId="164" fontId="5" fillId="0" borderId="4" xfId="1" applyNumberFormat="1" applyFont="1" applyBorder="1"/>
    <xf numFmtId="0" fontId="6" fillId="0" borderId="1" xfId="1" applyNumberFormat="1" applyFont="1" applyBorder="1"/>
    <xf numFmtId="0" fontId="5" fillId="0" borderId="0" xfId="0" applyFont="1"/>
    <xf numFmtId="0" fontId="7" fillId="0" borderId="0" xfId="0" applyFont="1"/>
    <xf numFmtId="0" fontId="5" fillId="0" borderId="5" xfId="1" applyNumberFormat="1" applyFont="1" applyBorder="1"/>
    <xf numFmtId="0" fontId="8" fillId="0" borderId="0" xfId="0" applyFont="1"/>
    <xf numFmtId="164" fontId="0" fillId="0" borderId="0" xfId="1" applyNumberFormat="1" applyFont="1"/>
  </cellXfs>
  <cellStyles count="2">
    <cellStyle name="Dziesiętny" xfId="1" builtinId="3"/>
    <cellStyle name="Normalny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161746</xdr:rowOff>
    </xdr:from>
    <xdr:to>
      <xdr:col>11</xdr:col>
      <xdr:colOff>475891</xdr:colOff>
      <xdr:row>24</xdr:row>
      <xdr:rowOff>145571</xdr:rowOff>
    </xdr:to>
    <xdr:pic>
      <xdr:nvPicPr>
        <xdr:cNvPr id="2" name="Picture 1" descr="A black background with blue text&#10;&#10;Description automatically generated">
          <a:extLst>
            <a:ext uri="{FF2B5EF4-FFF2-40B4-BE49-F238E27FC236}">
              <a16:creationId xmlns:a16="http://schemas.microsoft.com/office/drawing/2014/main" id="{B3850AA1-8228-4EE1-B07A-C1C4A91C1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24046"/>
          <a:ext cx="7305316" cy="1145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170C3-30B1-475F-9381-9AB2EC6C9139}" name="tblScale" displayName="tblScale" ref="G3:L17" totalsRowShown="0" headerRowDxfId="10" dataDxfId="9" headerRowBorderDxfId="7" tableBorderDxfId="8" totalsRowBorderDxfId="6">
  <autoFilter ref="G3:L17" xr:uid="{0B3D12B3-7547-4A69-BFC0-3D61DC4AE9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832A154-42D0-42F5-BE3E-789B47123FD7}" name="Grades" dataDxfId="5"/>
    <tableColumn id="2" xr3:uid="{85D0DEC2-339F-48B8-859F-9ED282454E85}" name="Year 1" dataDxfId="4"/>
    <tableColumn id="3" xr3:uid="{6C9D84BC-7D84-4AD1-A409-20406860977C}" name="Year 2" dataDxfId="3"/>
    <tableColumn id="4" xr3:uid="{F99BFC72-2A41-449B-9868-6582640ADF2C}" name="Year 3" dataDxfId="2"/>
    <tableColumn id="5" xr3:uid="{B3E80B60-BB05-428E-A4A3-817AB624D783}" name="Year 4" dataDxfId="1"/>
    <tableColumn id="6" xr3:uid="{F8F9932C-BBCB-4DDD-81D5-2F0EEF75A270}" name="Year 5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11E1-72F3-4770-9423-277A1D43EAE9}">
  <dimension ref="B1:L20"/>
  <sheetViews>
    <sheetView showGridLines="0" tabSelected="1" zoomScale="106" zoomScaleNormal="106" workbookViewId="0">
      <selection activeCell="P22" sqref="P22"/>
    </sheetView>
  </sheetViews>
  <sheetFormatPr defaultRowHeight="12.75"/>
  <cols>
    <col min="1" max="1" width="3.85546875" customWidth="1"/>
    <col min="2" max="2" width="14.85546875" customWidth="1"/>
    <col min="3" max="3" width="8.5703125" customWidth="1"/>
    <col min="4" max="4" width="9.28515625" bestFit="1" customWidth="1"/>
    <col min="5" max="5" width="16.42578125" bestFit="1" customWidth="1"/>
    <col min="6" max="6" width="8.140625" customWidth="1"/>
    <col min="7" max="7" width="9.28515625" bestFit="1" customWidth="1"/>
    <col min="8" max="12" width="8" bestFit="1" customWidth="1"/>
  </cols>
  <sheetData>
    <row r="1" spans="2:12" ht="5.25" customHeight="1"/>
    <row r="2" spans="2:12" ht="18.75">
      <c r="G2" s="1" t="s">
        <v>0</v>
      </c>
      <c r="H2" s="1"/>
      <c r="I2" s="1"/>
      <c r="J2" s="1"/>
      <c r="K2" s="1"/>
      <c r="L2" s="1"/>
    </row>
    <row r="3" spans="2:12" ht="15">
      <c r="B3" s="2" t="s">
        <v>1</v>
      </c>
      <c r="C3" s="2" t="s">
        <v>2</v>
      </c>
      <c r="D3" s="2" t="s">
        <v>3</v>
      </c>
      <c r="E3" s="2" t="s">
        <v>4</v>
      </c>
      <c r="G3" s="3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</row>
    <row r="4" spans="2:12" ht="15">
      <c r="B4" s="5" t="s">
        <v>11</v>
      </c>
      <c r="C4" s="6" t="s">
        <v>12</v>
      </c>
      <c r="D4" s="7">
        <v>35556</v>
      </c>
      <c r="E4" s="8">
        <f>K10-J10</f>
        <v>2485</v>
      </c>
      <c r="G4" s="9" t="s">
        <v>13</v>
      </c>
      <c r="H4" s="8">
        <v>12581.999999999998</v>
      </c>
      <c r="I4" s="8">
        <v>13588</v>
      </c>
      <c r="J4" s="8">
        <v>14675</v>
      </c>
      <c r="K4" s="8">
        <v>15849</v>
      </c>
      <c r="L4" s="8">
        <v>17117</v>
      </c>
    </row>
    <row r="5" spans="2:12" ht="15">
      <c r="B5" s="5" t="s">
        <v>14</v>
      </c>
      <c r="C5" s="6" t="s">
        <v>15</v>
      </c>
      <c r="D5" s="7">
        <v>20679</v>
      </c>
      <c r="E5" s="8">
        <f>tblScale[[#This Row],[Year 5]]-tblScale[[#This Row],[Year 4]]</f>
        <v>1531</v>
      </c>
      <c r="G5" s="9" t="s">
        <v>15</v>
      </c>
      <c r="H5" s="8">
        <v>15200</v>
      </c>
      <c r="I5" s="8">
        <v>16416</v>
      </c>
      <c r="J5" s="8">
        <v>17729</v>
      </c>
      <c r="K5" s="10">
        <v>19148</v>
      </c>
      <c r="L5" s="10">
        <v>20679</v>
      </c>
    </row>
    <row r="6" spans="2:12" ht="15">
      <c r="B6" s="5" t="s">
        <v>16</v>
      </c>
      <c r="C6" s="6" t="s">
        <v>17</v>
      </c>
      <c r="D6" s="7">
        <v>55500</v>
      </c>
      <c r="E6" s="8">
        <v>0</v>
      </c>
      <c r="G6" s="9" t="s">
        <v>18</v>
      </c>
      <c r="H6" s="8">
        <v>20050</v>
      </c>
      <c r="I6" s="8">
        <v>21654</v>
      </c>
      <c r="J6" s="8">
        <v>23386</v>
      </c>
      <c r="K6" s="8">
        <v>25257</v>
      </c>
      <c r="L6" s="8">
        <v>27277</v>
      </c>
    </row>
    <row r="7" spans="2:12" ht="15">
      <c r="B7" s="5" t="s">
        <v>19</v>
      </c>
      <c r="C7" s="6" t="s">
        <v>20</v>
      </c>
      <c r="D7" s="7">
        <v>25000</v>
      </c>
      <c r="E7" s="8">
        <f>tblScale[[#This Row],[Year 2]]-tblScale[[#This Row],[Year 1]]</f>
        <v>1662</v>
      </c>
      <c r="G7" s="9" t="s">
        <v>20</v>
      </c>
      <c r="H7" s="8">
        <v>23750</v>
      </c>
      <c r="I7" s="8">
        <v>25412</v>
      </c>
      <c r="J7" s="8">
        <v>27191</v>
      </c>
      <c r="K7" s="8">
        <v>29094</v>
      </c>
      <c r="L7" s="8">
        <v>31131</v>
      </c>
    </row>
    <row r="8" spans="2:12" ht="15">
      <c r="B8" s="5" t="s">
        <v>21</v>
      </c>
      <c r="C8" s="6" t="s">
        <v>22</v>
      </c>
      <c r="D8" s="7">
        <v>70000</v>
      </c>
      <c r="E8" s="8">
        <f>J14-I14</f>
        <v>4070</v>
      </c>
      <c r="G8" s="9" t="s">
        <v>23</v>
      </c>
      <c r="H8" s="8">
        <v>26000</v>
      </c>
      <c r="I8" s="8">
        <v>27820</v>
      </c>
      <c r="J8" s="8">
        <v>29767</v>
      </c>
      <c r="K8" s="8">
        <v>31851</v>
      </c>
      <c r="L8" s="8">
        <v>34080</v>
      </c>
    </row>
    <row r="9" spans="2:12" ht="15">
      <c r="B9" s="5" t="s">
        <v>24</v>
      </c>
      <c r="C9" s="6" t="s">
        <v>23</v>
      </c>
      <c r="D9" s="7">
        <v>27820</v>
      </c>
      <c r="E9" s="8">
        <f>I8-H8</f>
        <v>1820</v>
      </c>
      <c r="G9" s="9" t="s">
        <v>25</v>
      </c>
      <c r="H9" s="8">
        <v>29000</v>
      </c>
      <c r="I9" s="8">
        <v>31030</v>
      </c>
      <c r="J9" s="8">
        <v>33202</v>
      </c>
      <c r="K9" s="8">
        <v>35526</v>
      </c>
      <c r="L9" s="8">
        <v>38013</v>
      </c>
    </row>
    <row r="10" spans="2:12" ht="15">
      <c r="B10" s="5" t="s">
        <v>26</v>
      </c>
      <c r="C10" s="6" t="s">
        <v>27</v>
      </c>
      <c r="D10" s="7">
        <v>280000</v>
      </c>
      <c r="E10" s="8">
        <v>0</v>
      </c>
      <c r="G10" s="9" t="s">
        <v>12</v>
      </c>
      <c r="H10" s="8">
        <v>31000</v>
      </c>
      <c r="I10" s="8">
        <v>33170</v>
      </c>
      <c r="J10" s="10">
        <v>35491</v>
      </c>
      <c r="K10" s="10">
        <v>37976</v>
      </c>
      <c r="L10" s="8">
        <v>40634</v>
      </c>
    </row>
    <row r="11" spans="2:12" ht="15">
      <c r="B11" s="11"/>
      <c r="C11" s="11"/>
      <c r="D11" s="11"/>
      <c r="E11" s="11"/>
      <c r="G11" s="9" t="s">
        <v>28</v>
      </c>
      <c r="H11" s="8">
        <v>31500</v>
      </c>
      <c r="I11" s="8">
        <v>33705</v>
      </c>
      <c r="J11" s="8">
        <v>36064</v>
      </c>
      <c r="K11" s="8">
        <v>38588</v>
      </c>
      <c r="L11" s="8">
        <v>41290</v>
      </c>
    </row>
    <row r="12" spans="2:12" ht="15">
      <c r="B12" s="12" t="s">
        <v>29</v>
      </c>
      <c r="C12" s="11"/>
      <c r="D12" s="11"/>
      <c r="E12" s="11"/>
      <c r="G12" s="9" t="s">
        <v>30</v>
      </c>
      <c r="H12" s="8">
        <v>31500</v>
      </c>
      <c r="I12" s="8">
        <v>33705</v>
      </c>
      <c r="J12" s="8">
        <v>36064</v>
      </c>
      <c r="K12" s="8">
        <v>38588</v>
      </c>
      <c r="L12" s="8">
        <v>41290</v>
      </c>
    </row>
    <row r="13" spans="2:12" ht="15">
      <c r="B13" s="11" t="s">
        <v>31</v>
      </c>
      <c r="C13" s="11"/>
      <c r="D13" s="11"/>
      <c r="E13" s="11"/>
      <c r="G13" s="9" t="s">
        <v>17</v>
      </c>
      <c r="H13" s="10">
        <v>55500</v>
      </c>
      <c r="I13" s="8">
        <v>58830</v>
      </c>
      <c r="J13" s="8">
        <v>62359</v>
      </c>
      <c r="K13" s="8">
        <v>66101</v>
      </c>
      <c r="L13" s="8">
        <v>70067</v>
      </c>
    </row>
    <row r="14" spans="2:12" ht="15">
      <c r="B14" s="11" t="s">
        <v>32</v>
      </c>
      <c r="C14" s="11"/>
      <c r="D14" s="11"/>
      <c r="E14" s="11"/>
      <c r="G14" s="9" t="s">
        <v>22</v>
      </c>
      <c r="H14" s="8">
        <v>64000</v>
      </c>
      <c r="I14" s="8">
        <v>67840</v>
      </c>
      <c r="J14" s="8">
        <v>71910</v>
      </c>
      <c r="K14" s="8">
        <v>76225</v>
      </c>
      <c r="L14" s="8">
        <v>80798</v>
      </c>
    </row>
    <row r="15" spans="2:12" ht="15">
      <c r="B15" s="11" t="s">
        <v>33</v>
      </c>
      <c r="C15" s="11"/>
      <c r="D15" s="11"/>
      <c r="E15" s="11"/>
      <c r="G15" s="9" t="s">
        <v>34</v>
      </c>
      <c r="H15" s="8">
        <v>72500</v>
      </c>
      <c r="I15" s="8">
        <v>76850</v>
      </c>
      <c r="J15" s="8">
        <v>81461</v>
      </c>
      <c r="K15" s="8">
        <v>86348</v>
      </c>
      <c r="L15" s="8">
        <v>91529</v>
      </c>
    </row>
    <row r="16" spans="2:12" ht="15">
      <c r="B16" s="11" t="s">
        <v>35</v>
      </c>
      <c r="C16" s="11"/>
      <c r="D16" s="11"/>
      <c r="E16" s="11"/>
      <c r="G16" s="9" t="s">
        <v>36</v>
      </c>
      <c r="H16" s="8">
        <v>112500</v>
      </c>
      <c r="I16" s="8">
        <v>119250</v>
      </c>
      <c r="J16" s="8">
        <v>126405</v>
      </c>
      <c r="K16" s="8">
        <v>133989</v>
      </c>
      <c r="L16" s="8">
        <v>142028</v>
      </c>
    </row>
    <row r="17" spans="2:12" ht="15">
      <c r="B17" s="11"/>
      <c r="C17" s="11"/>
      <c r="D17" s="11"/>
      <c r="E17" s="11"/>
      <c r="G17" s="9" t="s">
        <v>27</v>
      </c>
      <c r="H17" s="13">
        <v>280000</v>
      </c>
      <c r="I17" s="13">
        <v>296800</v>
      </c>
      <c r="J17" s="13">
        <v>314608</v>
      </c>
      <c r="K17" s="13">
        <v>333484</v>
      </c>
      <c r="L17" s="13">
        <v>353493</v>
      </c>
    </row>
    <row r="18" spans="2:12" ht="15">
      <c r="B18" s="14" t="s">
        <v>37</v>
      </c>
      <c r="C18" s="11"/>
      <c r="D18" s="11"/>
      <c r="E18" s="11"/>
      <c r="F18" s="15"/>
    </row>
    <row r="19" spans="2:12">
      <c r="B19" s="15"/>
      <c r="D19" s="15"/>
      <c r="E19" s="15"/>
      <c r="F19" s="15"/>
    </row>
    <row r="20" spans="2:12">
      <c r="B20" s="15"/>
      <c r="D20" s="15"/>
      <c r="E20" s="15"/>
      <c r="F20" s="15"/>
    </row>
  </sheetData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57FC976F3DB549B9FA362DFB5E13D5" ma:contentTypeVersion="13" ma:contentTypeDescription="Create a new document." ma:contentTypeScope="" ma:versionID="7eef6a7fe5c974fcef62acc151bcf386">
  <xsd:schema xmlns:xsd="http://www.w3.org/2001/XMLSchema" xmlns:xs="http://www.w3.org/2001/XMLSchema" xmlns:p="http://schemas.microsoft.com/office/2006/metadata/properties" xmlns:ns3="cbb32b1b-6de1-4ef9-a13f-ef0f93126a6c" xmlns:ns4="c380163b-d797-42da-a749-dd322f499699" targetNamespace="http://schemas.microsoft.com/office/2006/metadata/properties" ma:root="true" ma:fieldsID="d64fd8229131d59cbcff777d8ce48c1c" ns3:_="" ns4:_="">
    <xsd:import namespace="cbb32b1b-6de1-4ef9-a13f-ef0f93126a6c"/>
    <xsd:import namespace="c380163b-d797-42da-a749-dd322f49969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32b1b-6de1-4ef9-a13f-ef0f93126a6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0163b-d797-42da-a749-dd322f49969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b32b1b-6de1-4ef9-a13f-ef0f93126a6c" xsi:nil="true"/>
  </documentManagement>
</p:properties>
</file>

<file path=customXml/itemProps1.xml><?xml version="1.0" encoding="utf-8"?>
<ds:datastoreItem xmlns:ds="http://schemas.openxmlformats.org/officeDocument/2006/customXml" ds:itemID="{BF09759C-1341-488E-A995-B0B6382E801F}"/>
</file>

<file path=customXml/itemProps2.xml><?xml version="1.0" encoding="utf-8"?>
<ds:datastoreItem xmlns:ds="http://schemas.openxmlformats.org/officeDocument/2006/customXml" ds:itemID="{290AA6FF-E706-49F1-B5C6-E4649B638EE1}"/>
</file>

<file path=customXml/itemProps3.xml><?xml version="1.0" encoding="utf-8"?>
<ds:datastoreItem xmlns:ds="http://schemas.openxmlformats.org/officeDocument/2006/customXml" ds:itemID="{81076261-E4D4-4550-990A-671A12AE13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2023-11-27T08:24:58Z</dcterms:created>
  <dcterms:modified xsi:type="dcterms:W3CDTF">2026-06-21T09:23:33Z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0x0101009E57FC976F3DB549B9FA362DFB5E13D5</vt:lpwstr>
  </property>
</Properties>
</file>